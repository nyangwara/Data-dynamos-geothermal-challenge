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CapEx" sheetId="2" state="visible" r:id="rId2"/>
    <sheet xmlns:r="http://schemas.openxmlformats.org/officeDocument/2006/relationships" name="3. OpEx" sheetId="3" state="visible" r:id="rId3"/>
    <sheet xmlns:r="http://schemas.openxmlformats.org/officeDocument/2006/relationships" name="4. Energy delivered" sheetId="4" state="visible" r:id="rId4"/>
    <sheet xmlns:r="http://schemas.openxmlformats.org/officeDocument/2006/relationships" name="5. LCoE" sheetId="5" state="visible" r:id="rId5"/>
    <sheet xmlns:r="http://schemas.openxmlformats.org/officeDocument/2006/relationships" name="6. Sensitivit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000"/>
    <numFmt numFmtId="167" formatCode="0.0"/>
    <numFmt numFmtId="168" formatCode="0.000"/>
    <numFmt numFmtId="169" formatCode="\€0.00"/>
    <numFmt numFmtId="170" formatCode="\€0.0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2"/>
    </font>
    <font>
      <name val="Arial"/>
      <charset val="1"/>
      <family val="0"/>
      <color rgb="FF006100"/>
      <sz val="10"/>
    </font>
    <font>
      <name val="Arial"/>
      <charset val="1"/>
      <family val="0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2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bottom"/>
    </xf>
    <xf numFmtId="2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center" wrapText="1"/>
    </xf>
    <xf numFmtId="2" fontId="8" fillId="3" borderId="0" applyAlignment="1" pivotButton="0" quotePrefix="0" xfId="0">
      <alignment horizontal="right" vertical="bottom"/>
    </xf>
    <xf numFmtId="2" fontId="9" fillId="5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left" vertical="bottom"/>
    </xf>
    <xf numFmtId="2" fontId="11" fillId="2" borderId="0" applyAlignment="1" pivotButton="0" quotePrefix="0" xfId="0">
      <alignment horizontal="right" vertical="bottom"/>
    </xf>
    <xf numFmtId="3" fontId="8" fillId="3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1" fontId="8" fillId="3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right" vertical="bottom"/>
    </xf>
    <xf numFmtId="167" fontId="9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bottom"/>
    </xf>
    <xf numFmtId="169" fontId="13" fillId="6" borderId="0" applyAlignment="1" pivotButton="0" quotePrefix="0" xfId="0">
      <alignment horizontal="right" vertical="bottom"/>
    </xf>
    <xf numFmtId="0" fontId="10" fillId="6" borderId="0" applyAlignment="1" pivotButton="0" quotePrefix="0" xfId="0">
      <alignment horizontal="left" vertical="bottom"/>
    </xf>
    <xf numFmtId="170" fontId="9" fillId="0" borderId="0" applyAlignment="1" pivotButton="0" quotePrefix="0" xfId="0">
      <alignment horizontal="right" vertical="bottom"/>
    </xf>
    <xf numFmtId="0" fontId="9" fillId="3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2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bottom"/>
    </xf>
    <xf numFmtId="2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center" wrapText="1"/>
    </xf>
    <xf numFmtId="2" fontId="8" fillId="3" borderId="0" applyAlignment="1" pivotButton="0" quotePrefix="0" xfId="0">
      <alignment horizontal="right" vertical="bottom"/>
    </xf>
    <xf numFmtId="2" fontId="9" fillId="5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left" vertical="bottom"/>
    </xf>
    <xf numFmtId="2" fontId="11" fillId="2" borderId="0" applyAlignment="1" pivotButton="0" quotePrefix="0" xfId="0">
      <alignment horizontal="right" vertical="bottom"/>
    </xf>
    <xf numFmtId="3" fontId="8" fillId="3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1" fontId="8" fillId="3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right" vertical="bottom"/>
    </xf>
    <xf numFmtId="167" fontId="9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bottom"/>
    </xf>
    <xf numFmtId="169" fontId="13" fillId="6" borderId="0" applyAlignment="1" pivotButton="0" quotePrefix="0" xfId="0">
      <alignment horizontal="right" vertical="bottom"/>
    </xf>
    <xf numFmtId="0" fontId="10" fillId="6" borderId="0" applyAlignment="1" pivotButton="0" quotePrefix="0" xfId="0">
      <alignment horizontal="left" vertical="bottom"/>
    </xf>
    <xf numFmtId="170" fontId="9" fillId="0" borderId="0" applyAlignment="1" pivotButton="0" quotePrefix="0" xfId="0">
      <alignment horizontal="right" vertical="bottom"/>
    </xf>
    <xf numFmtId="0" fontId="9" fillId="3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8" min="1" max="1"/>
    <col width="14" customWidth="1" style="38" min="2" max="2"/>
    <col width="8" customWidth="1" style="38" min="3" max="3"/>
    <col width="35" customWidth="1" style="38" min="4" max="4"/>
  </cols>
  <sheetData>
    <row r="1" ht="17.25" customHeight="1" s="39">
      <c r="A1" s="40" t="inlineStr">
        <is>
          <t>LCoE inputs — hybrid geothermal heating &amp; cooling system</t>
        </is>
      </c>
    </row>
    <row r="2" ht="15" customHeight="1" s="39">
      <c r="A2" s="41" t="inlineStr">
        <is>
          <t>Blue text on yellow = inputs (change these for scenarios). Black text = calculated. Documented sources in column D.</t>
        </is>
      </c>
    </row>
    <row r="4" ht="15" customHeight="1" s="39">
      <c r="A4" s="42" t="inlineStr">
        <is>
          <t>System design</t>
        </is>
      </c>
    </row>
    <row r="5" ht="15" customHeight="1" s="39">
      <c r="A5" s="43" t="inlineStr">
        <is>
          <t>Heating demand peak</t>
        </is>
      </c>
      <c r="B5" s="44" t="n">
        <v>10</v>
      </c>
      <c r="C5" s="43" t="inlineStr">
        <is>
          <t>MWth</t>
        </is>
      </c>
      <c r="D5" s="41" t="inlineStr">
        <is>
          <t>Challenge brief minimum</t>
        </is>
      </c>
    </row>
    <row r="6" ht="15" customHeight="1" s="39">
      <c r="A6" s="43" t="inlineStr">
        <is>
          <t>Cooling demand peak</t>
        </is>
      </c>
      <c r="B6" s="44" t="n">
        <v>5</v>
      </c>
      <c r="C6" s="43" t="inlineStr">
        <is>
          <t>MWth</t>
        </is>
      </c>
      <c r="D6" s="41" t="inlineStr">
        <is>
          <t>Challenge brief minimum</t>
        </is>
      </c>
    </row>
    <row r="7" ht="15" customHeight="1" s="39">
      <c r="A7" s="43" t="inlineStr">
        <is>
          <t>Heating FLEH</t>
        </is>
      </c>
      <c r="B7" s="44" t="n">
        <v>2400</v>
      </c>
      <c r="C7" s="43" t="inlineStr">
        <is>
          <t>hr/yr</t>
        </is>
      </c>
      <c r="D7" s="41" t="inlineStr">
        <is>
          <t>NL DHC typical</t>
        </is>
      </c>
    </row>
    <row r="8" ht="15" customHeight="1" s="39">
      <c r="A8" s="43" t="inlineStr">
        <is>
          <t>Cooling FLEH</t>
        </is>
      </c>
      <c r="B8" s="44" t="n">
        <v>1500</v>
      </c>
      <c r="C8" s="43" t="inlineStr">
        <is>
          <t>hr/yr</t>
        </is>
      </c>
      <c r="D8" s="41" t="inlineStr">
        <is>
          <t>NL summer cooling demand</t>
        </is>
      </c>
    </row>
    <row r="9" ht="15" customHeight="1" s="39">
      <c r="A9" s="43" t="inlineStr">
        <is>
          <t>Project lifetime</t>
        </is>
      </c>
      <c r="B9" s="44" t="n">
        <v>25</v>
      </c>
      <c r="C9" s="43" t="inlineStr">
        <is>
          <t>years</t>
        </is>
      </c>
      <c r="D9" s="41" t="inlineStr">
        <is>
          <t>Geothermal industry standard</t>
        </is>
      </c>
    </row>
    <row r="10" ht="15" customHeight="1" s="39">
      <c r="A10" s="43" t="inlineStr">
        <is>
          <t>Discount rate</t>
        </is>
      </c>
      <c r="B10" s="45" t="n">
        <v>0.07000000000000001</v>
      </c>
      <c r="C10" s="43" t="inlineStr">
        <is>
          <t>fraction</t>
        </is>
      </c>
      <c r="D10" s="41" t="inlineStr">
        <is>
          <t>NL geothermal WACC ~7%</t>
        </is>
      </c>
    </row>
    <row r="12" ht="15" customHeight="1" s="39">
      <c r="A12" s="42" t="inlineStr">
        <is>
          <t>Geothermal doublet (BLT-01 producer + USP-01 injector)</t>
        </is>
      </c>
    </row>
    <row r="13" ht="15" customHeight="1" s="39">
      <c r="A13" s="43" t="inlineStr">
        <is>
          <t>Production flow rate</t>
        </is>
      </c>
      <c r="B13" s="44" t="n">
        <v>105</v>
      </c>
      <c r="C13" s="43" t="inlineStr">
        <is>
          <t>m³/h</t>
        </is>
      </c>
      <c r="D13" s="41" t="inlineStr">
        <is>
          <t>BLT-01 ThermoGIS P50</t>
        </is>
      </c>
    </row>
    <row r="14" ht="15" customHeight="1" s="39">
      <c r="A14" s="43" t="inlineStr">
        <is>
          <t>Production temperature</t>
        </is>
      </c>
      <c r="B14" s="44" t="n">
        <v>77</v>
      </c>
      <c r="C14" s="43" t="inlineStr">
        <is>
          <t>°C</t>
        </is>
      </c>
      <c r="D14" s="41" t="inlineStr">
        <is>
          <t>BLT-01 ThermoGIS</t>
        </is>
      </c>
    </row>
    <row r="15" ht="15" customHeight="1" s="39">
      <c r="A15" s="43" t="inlineStr">
        <is>
          <t>Injection temperature (after HP-1)</t>
        </is>
      </c>
      <c r="B15" s="44" t="n">
        <v>15</v>
      </c>
      <c r="C15" s="43" t="inlineStr">
        <is>
          <t>°C</t>
        </is>
      </c>
      <c r="D15" s="41" t="inlineStr">
        <is>
          <t>After return-brine HP</t>
        </is>
      </c>
    </row>
    <row r="16" ht="15" customHeight="1" s="39">
      <c r="A16" s="43" t="inlineStr">
        <is>
          <t>Brine density</t>
        </is>
      </c>
      <c r="B16" s="44" t="n">
        <v>1000</v>
      </c>
      <c r="C16" s="43" t="inlineStr">
        <is>
          <t>kg/m³</t>
        </is>
      </c>
    </row>
    <row r="17" ht="15" customHeight="1" s="39">
      <c r="A17" s="43" t="inlineStr">
        <is>
          <t>Brine specific heat</t>
        </is>
      </c>
      <c r="B17" s="44" t="n">
        <v>4180</v>
      </c>
      <c r="C17" s="43" t="inlineStr">
        <is>
          <t>J/kg·K</t>
        </is>
      </c>
    </row>
    <row r="18" ht="15" customHeight="1" s="39">
      <c r="A18" s="43" t="inlineStr">
        <is>
          <t>Mass flow rate</t>
        </is>
      </c>
      <c r="B18" s="46">
        <f>B13/3600*B16</f>
        <v/>
      </c>
      <c r="C18" s="43" t="inlineStr">
        <is>
          <t>kg/s</t>
        </is>
      </c>
      <c r="D18" s="41" t="inlineStr">
        <is>
          <t>flow / 3600 × density</t>
        </is>
      </c>
    </row>
    <row r="19" ht="15" customHeight="1" s="39">
      <c r="A19" s="43" t="inlineStr">
        <is>
          <t>Direct geothermal heat</t>
        </is>
      </c>
      <c r="B19" s="47">
        <f>B18*B17*(B14-35)/1000000</f>
        <v/>
      </c>
      <c r="C19" s="43" t="inlineStr">
        <is>
          <t>MWth</t>
        </is>
      </c>
      <c r="D19" s="41" t="inlineStr">
        <is>
          <t>Brine 77→35 °C (before HP-1)</t>
        </is>
      </c>
    </row>
    <row r="21" ht="15" customHeight="1" s="39">
      <c r="A21" s="42" t="inlineStr">
        <is>
          <t>Heat pumps</t>
        </is>
      </c>
    </row>
    <row r="22" ht="15" customHeight="1" s="39">
      <c r="A22" s="43" t="inlineStr">
        <is>
          <t>HP-1 COP (return brine 35→15 °C)</t>
        </is>
      </c>
      <c r="B22" s="44" t="n">
        <v>3.5</v>
      </c>
      <c r="D22" s="41" t="inlineStr">
        <is>
          <t>Typical 70 °C sink</t>
        </is>
      </c>
    </row>
    <row r="23" ht="15" customHeight="1" s="39">
      <c r="A23" s="43" t="inlineStr">
        <is>
          <t>HP-1 heat extracted from brine</t>
        </is>
      </c>
      <c r="B23" s="47">
        <f>B18*B17*(35-B15)/1000000</f>
        <v/>
      </c>
      <c r="C23" s="43" t="inlineStr">
        <is>
          <t>MW</t>
        </is>
      </c>
      <c r="D23" s="41" t="inlineStr">
        <is>
          <t>Brine 35→15 °C</t>
        </is>
      </c>
    </row>
    <row r="24" ht="15" customHeight="1" s="39">
      <c r="A24" s="43" t="inlineStr">
        <is>
          <t>HP-1 electricity input</t>
        </is>
      </c>
      <c r="B24" s="47">
        <f>B23/(B22-1)</f>
        <v/>
      </c>
      <c r="C24" s="43" t="inlineStr">
        <is>
          <t>MW</t>
        </is>
      </c>
      <c r="D24" s="41" t="inlineStr">
        <is>
          <t>W = Qcold/(COP-1)</t>
        </is>
      </c>
    </row>
    <row r="25" ht="15" customHeight="1" s="39">
      <c r="A25" s="43" t="inlineStr">
        <is>
          <t>HP-1 heat output</t>
        </is>
      </c>
      <c r="B25" s="47">
        <f>B22*B24</f>
        <v/>
      </c>
      <c r="C25" s="43" t="inlineStr">
        <is>
          <t>MWth</t>
        </is>
      </c>
    </row>
    <row r="26" ht="15" customHeight="1" s="39">
      <c r="A26" s="43" t="inlineStr">
        <is>
          <t>HP-2 COP (ATES warm well)</t>
        </is>
      </c>
      <c r="B26" s="44" t="n">
        <v>4</v>
      </c>
      <c r="D26" s="41" t="inlineStr">
        <is>
          <t>Better source temp</t>
        </is>
      </c>
    </row>
    <row r="27" ht="15" customHeight="1" s="39">
      <c r="A27" s="43" t="inlineStr">
        <is>
          <t>HP-2 heat output</t>
        </is>
      </c>
      <c r="B27" s="44" t="n">
        <v>2.17</v>
      </c>
      <c r="C27" s="43" t="inlineStr">
        <is>
          <t>MWth</t>
        </is>
      </c>
      <c r="D27" s="41" t="inlineStr">
        <is>
          <t>Sized per design doc</t>
        </is>
      </c>
    </row>
    <row r="28" ht="15" customHeight="1" s="39">
      <c r="A28" s="43" t="inlineStr">
        <is>
          <t>HP-2 electricity input</t>
        </is>
      </c>
      <c r="B28" s="46">
        <f>B27/B26</f>
        <v/>
      </c>
      <c r="C28" s="43" t="inlineStr">
        <is>
          <t>MW</t>
        </is>
      </c>
    </row>
    <row r="30" ht="15" customHeight="1" s="39">
      <c r="A30" s="48" t="inlineStr">
        <is>
          <t>Total heating capacity</t>
        </is>
      </c>
      <c r="B30" s="49">
        <f>B19+B25+B27</f>
        <v/>
      </c>
      <c r="C30" s="43" t="inlineStr">
        <is>
          <t>MWth</t>
        </is>
      </c>
    </row>
    <row r="31" ht="15" customHeight="1" s="39">
      <c r="A31" s="43" t="inlineStr">
        <is>
          <t>Total heating electricity</t>
        </is>
      </c>
      <c r="B31" s="47">
        <f>B24+B28</f>
        <v/>
      </c>
      <c r="C31" s="43" t="inlineStr">
        <is>
          <t>MW</t>
        </is>
      </c>
    </row>
    <row r="33" ht="15" customHeight="1" s="39">
      <c r="A33" s="42" t="inlineStr">
        <is>
          <t>Cooling</t>
        </is>
      </c>
    </row>
    <row r="34" ht="15" customHeight="1" s="39">
      <c r="A34" s="43" t="inlineStr">
        <is>
          <t>Absorption chiller capacity</t>
        </is>
      </c>
      <c r="B34" s="44" t="n">
        <v>3</v>
      </c>
      <c r="C34" s="43" t="inlineStr">
        <is>
          <t>MWth</t>
        </is>
      </c>
      <c r="D34" s="41" t="inlineStr">
        <is>
          <t>Single-effect LiBr</t>
        </is>
      </c>
    </row>
    <row r="35" ht="15" customHeight="1" s="39">
      <c r="A35" s="43" t="inlineStr">
        <is>
          <t>Absorption chiller COP</t>
        </is>
      </c>
      <c r="B35" s="44" t="n">
        <v>0.7</v>
      </c>
    </row>
    <row r="36" ht="15" customHeight="1" s="39">
      <c r="A36" s="43" t="inlineStr">
        <is>
          <t>Electric chiller capacity</t>
        </is>
      </c>
      <c r="B36" s="44" t="n">
        <v>2</v>
      </c>
      <c r="C36" s="43" t="inlineStr">
        <is>
          <t>MWth</t>
        </is>
      </c>
      <c r="D36" s="41" t="inlineStr">
        <is>
          <t>Peaking unit</t>
        </is>
      </c>
    </row>
    <row r="37" ht="15" customHeight="1" s="39">
      <c r="A37" s="43" t="inlineStr">
        <is>
          <t>Electric chiller COP</t>
        </is>
      </c>
      <c r="B37" s="44" t="n">
        <v>5</v>
      </c>
    </row>
    <row r="38" ht="15" customHeight="1" s="39">
      <c r="A38" s="43" t="inlineStr">
        <is>
          <t>ATES cold well capacity</t>
        </is>
      </c>
      <c r="B38" s="44" t="n">
        <v>1</v>
      </c>
      <c r="C38" s="43" t="inlineStr">
        <is>
          <t>MWth</t>
        </is>
      </c>
      <c r="D38" s="41" t="inlineStr">
        <is>
          <t>Passive cooling</t>
        </is>
      </c>
    </row>
    <row r="39" ht="15" customHeight="1" s="39">
      <c r="A39" s="48" t="inlineStr">
        <is>
          <t>Total cooling capacity</t>
        </is>
      </c>
      <c r="B39" s="50">
        <f>B34+B36+B38</f>
        <v/>
      </c>
      <c r="C39" s="43" t="inlineStr">
        <is>
          <t>MWth</t>
        </is>
      </c>
    </row>
  </sheetData>
  <mergeCells count="6">
    <mergeCell ref="A1:D1"/>
    <mergeCell ref="A12:D12"/>
    <mergeCell ref="A4:D4"/>
    <mergeCell ref="A21:D21"/>
    <mergeCell ref="A2:D2"/>
    <mergeCell ref="A33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" min="1" max="1"/>
    <col width="14" customWidth="1" style="38" min="2" max="2"/>
    <col width="8" customWidth="1" style="38" min="3" max="3"/>
    <col width="30" customWidth="1" style="38" min="4" max="4"/>
  </cols>
  <sheetData>
    <row r="1" ht="17.25" customHeight="1" s="39">
      <c r="A1" s="40" t="inlineStr">
        <is>
          <t>Capital expenditure breakdown</t>
        </is>
      </c>
    </row>
    <row r="3" ht="15" customHeight="1" s="39">
      <c r="A3" s="51" t="inlineStr">
        <is>
          <t>Item</t>
        </is>
      </c>
      <c r="B3" s="51" t="inlineStr">
        <is>
          <t>Cost (€M)</t>
        </is>
      </c>
      <c r="C3" s="51" t="inlineStr">
        <is>
          <t>%</t>
        </is>
      </c>
      <c r="D3" s="51" t="inlineStr">
        <is>
          <t>Source</t>
        </is>
      </c>
    </row>
    <row r="4" ht="15" customHeight="1" s="39">
      <c r="A4" s="42" t="inlineStr">
        <is>
          <t>Subsurface</t>
        </is>
      </c>
    </row>
    <row r="5" ht="15" customHeight="1" s="39">
      <c r="A5" s="43" t="inlineStr">
        <is>
          <t xml:space="preserve">  Drilling USP-01 (1 new well, ~1830 m TVD)</t>
        </is>
      </c>
      <c r="B5" s="52" t="n">
        <v>5</v>
      </c>
      <c r="D5" s="41" t="inlineStr">
        <is>
          <t>€2.5M base + €1500/m for depth</t>
        </is>
      </c>
    </row>
    <row r="6" ht="15" customHeight="1" s="39">
      <c r="A6" s="43" t="inlineStr">
        <is>
          <t xml:space="preserve">  Workover BLT-01 (recompletion as producer)</t>
        </is>
      </c>
      <c r="B6" s="52" t="n">
        <v>1</v>
      </c>
      <c r="D6" s="41" t="inlineStr">
        <is>
          <t>NL geothermal benchmark</t>
        </is>
      </c>
    </row>
    <row r="7" ht="15" customHeight="1" s="39">
      <c r="A7" s="43" t="inlineStr">
        <is>
          <t xml:space="preserve">  Reservoir engineering + permitting</t>
        </is>
      </c>
      <c r="B7" s="52" t="n">
        <v>0.5</v>
      </c>
      <c r="D7" s="41" t="inlineStr">
        <is>
          <t>TNO advisory + EBN approval</t>
        </is>
      </c>
    </row>
    <row r="8" ht="15" customHeight="1" s="39">
      <c r="A8" s="42" t="inlineStr">
        <is>
          <t>Surface plant</t>
        </is>
      </c>
    </row>
    <row r="9" ht="15" customHeight="1" s="39">
      <c r="A9" s="43" t="inlineStr">
        <is>
          <t xml:space="preserve">  Plant building + civil works</t>
        </is>
      </c>
      <c r="B9" s="52" t="n">
        <v>2</v>
      </c>
      <c r="D9" s="41" t="inlineStr">
        <is>
          <t>Industrial benchmark</t>
        </is>
      </c>
    </row>
    <row r="10" ht="15" customHeight="1" s="39">
      <c r="A10" s="43" t="inlineStr">
        <is>
          <t xml:space="preserve">  Primary heat exchanger (corrosion-resistant)</t>
        </is>
      </c>
      <c r="B10" s="52" t="n">
        <v>1</v>
      </c>
      <c r="D10" s="41" t="inlineStr">
        <is>
          <t>Duplex SS, brine duty</t>
        </is>
      </c>
    </row>
    <row r="11" ht="15" customHeight="1" s="39">
      <c r="A11" s="43" t="inlineStr">
        <is>
          <t xml:space="preserve">  Heat pump HP-1 (~1 MW electric)</t>
        </is>
      </c>
      <c r="B11" s="52" t="n">
        <v>0.8</v>
      </c>
      <c r="D11" s="41" t="inlineStr">
        <is>
          <t>Industrial HP, €800/kW</t>
        </is>
      </c>
    </row>
    <row r="12" ht="15" customHeight="1" s="39">
      <c r="A12" s="43" t="inlineStr">
        <is>
          <t xml:space="preserve">  Heat pump HP-2 (~0.5 MW electric)</t>
        </is>
      </c>
      <c r="B12" s="52" t="n">
        <v>0.5</v>
      </c>
      <c r="D12" s="41" t="inlineStr">
        <is>
          <t>Smaller unit</t>
        </is>
      </c>
    </row>
    <row r="13" ht="15" customHeight="1" s="39">
      <c r="A13" s="43" t="inlineStr">
        <is>
          <t xml:space="preserve">  Absorption chiller (3 MW)</t>
        </is>
      </c>
      <c r="B13" s="52" t="n">
        <v>1</v>
      </c>
      <c r="D13" s="41" t="inlineStr">
        <is>
          <t>LiBr, €330/kW cooling</t>
        </is>
      </c>
    </row>
    <row r="14" ht="15" customHeight="1" s="39">
      <c r="A14" s="43" t="inlineStr">
        <is>
          <t xml:space="preserve">  Electric chiller (2 MW)</t>
        </is>
      </c>
      <c r="B14" s="52" t="n">
        <v>0.5</v>
      </c>
      <c r="D14" s="41" t="inlineStr">
        <is>
          <t>Vapor-compression</t>
        </is>
      </c>
    </row>
    <row r="15" ht="15" customHeight="1" s="39">
      <c r="A15" s="43" t="inlineStr">
        <is>
          <t xml:space="preserve">  Pumps, control, BoP</t>
        </is>
      </c>
      <c r="B15" s="52" t="n">
        <v>1</v>
      </c>
      <c r="D15" s="41" t="inlineStr">
        <is>
          <t>~5% of plant</t>
        </is>
      </c>
    </row>
    <row r="16" ht="15" customHeight="1" s="39">
      <c r="A16" s="42" t="inlineStr">
        <is>
          <t>ATES system</t>
        </is>
      </c>
    </row>
    <row r="17" ht="15" customHeight="1" s="39">
      <c r="A17" s="43" t="inlineStr">
        <is>
          <t xml:space="preserve">  Warm well + cold well drilling</t>
        </is>
      </c>
      <c r="B17" s="52" t="n">
        <v>1.5</v>
      </c>
      <c r="D17" s="41" t="inlineStr">
        <is>
          <t>2 × ~150 m wells, €750k ea.</t>
        </is>
      </c>
    </row>
    <row r="18" ht="15" customHeight="1" s="39">
      <c r="A18" s="43" t="inlineStr">
        <is>
          <t xml:space="preserve">  ATES pumps, HX, heat exchanger</t>
        </is>
      </c>
      <c r="B18" s="52" t="n">
        <v>0.5</v>
      </c>
      <c r="D18" s="41" t="inlineStr">
        <is>
          <t>Standard ATES skid</t>
        </is>
      </c>
    </row>
    <row r="19" ht="15" customHeight="1" s="39">
      <c r="A19" s="42" t="inlineStr">
        <is>
          <t>Pipelines</t>
        </is>
      </c>
    </row>
    <row r="20" ht="15" customHeight="1" s="39">
      <c r="A20" s="43" t="inlineStr">
        <is>
          <t xml:space="preserve">  Hot brine line BLT-01 → plant (2.0 km)</t>
        </is>
      </c>
      <c r="B20" s="52" t="n">
        <v>2</v>
      </c>
      <c r="D20" s="41" t="inlineStr">
        <is>
          <t>€1M/km insulated</t>
        </is>
      </c>
    </row>
    <row r="21" ht="15" customHeight="1" s="39">
      <c r="A21" s="43" t="inlineStr">
        <is>
          <t xml:space="preserve">  Cool brine line plant → USP-01 (0.5 km)</t>
        </is>
      </c>
      <c r="B21" s="52" t="n">
        <v>0.3</v>
      </c>
      <c r="D21" s="41" t="inlineStr">
        <is>
          <t>Less insulation</t>
        </is>
      </c>
    </row>
    <row r="22" ht="15" customHeight="1" s="39">
      <c r="A22" s="43" t="inlineStr">
        <is>
          <t xml:space="preserve">  District network (5 km, primary loop)</t>
        </is>
      </c>
      <c r="B22" s="52" t="n">
        <v>3</v>
      </c>
      <c r="D22" s="41" t="inlineStr">
        <is>
          <t>€600/m district</t>
        </is>
      </c>
    </row>
    <row r="23" ht="15" customHeight="1" s="39">
      <c r="A23" s="42" t="inlineStr">
        <is>
          <t>Other</t>
        </is>
      </c>
    </row>
    <row r="24" ht="15" customHeight="1" s="39">
      <c r="A24" s="43" t="inlineStr">
        <is>
          <t xml:space="preserve">  Contingency (15%)</t>
        </is>
      </c>
      <c r="B24" s="53">
        <f>SUM(B5:B23)*0.15</f>
        <v/>
      </c>
      <c r="D24" s="41" t="inlineStr">
        <is>
          <t>15% of subtotal</t>
        </is>
      </c>
    </row>
    <row r="25" ht="15" customHeight="1" s="39">
      <c r="A25" s="54" t="inlineStr">
        <is>
          <t>TOTAL CAPEX</t>
        </is>
      </c>
      <c r="B25" s="55">
        <f>SUM(B5:B23)+B24</f>
        <v/>
      </c>
    </row>
    <row r="27" ht="15" customHeight="1" s="39">
      <c r="A27" s="42" t="inlineStr">
        <is>
          <t>CapEx unit metrics</t>
        </is>
      </c>
    </row>
    <row r="28" ht="15" customHeight="1" s="39">
      <c r="A28" s="43" t="inlineStr">
        <is>
          <t>CapEx per MW thermal (combined)</t>
        </is>
      </c>
      <c r="B28" s="47">
        <f>B25/('1. Assumptions'!B5+'1. Assumptions'!B6)</f>
        <v/>
      </c>
      <c r="C28" s="43" t="inlineStr">
        <is>
          <t>€M/MWth</t>
        </is>
      </c>
    </row>
  </sheetData>
  <mergeCells count="7">
    <mergeCell ref="A1:D1"/>
    <mergeCell ref="A23:D23"/>
    <mergeCell ref="A27:D27"/>
    <mergeCell ref="A8:D8"/>
    <mergeCell ref="A4:D4"/>
    <mergeCell ref="A19:D19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8" min="1" max="1"/>
    <col width="18" customWidth="1" style="38" min="2" max="2"/>
    <col width="10" customWidth="1" style="38" min="3" max="3"/>
    <col width="35" customWidth="1" style="38" min="4" max="4"/>
  </cols>
  <sheetData>
    <row r="1" ht="17.25" customHeight="1" s="39">
      <c r="A1" s="40" t="inlineStr">
        <is>
          <t>Operating expenditure (annual)</t>
        </is>
      </c>
    </row>
    <row r="3" ht="15" customHeight="1" s="39">
      <c r="A3" s="51" t="inlineStr">
        <is>
          <t>Item</t>
        </is>
      </c>
      <c r="B3" s="51" t="inlineStr">
        <is>
          <t>Annual (€k/yr)</t>
        </is>
      </c>
      <c r="C3" s="51" t="inlineStr">
        <is>
          <t>%</t>
        </is>
      </c>
      <c r="D3" s="51" t="inlineStr">
        <is>
          <t>Basis</t>
        </is>
      </c>
    </row>
    <row r="5" ht="15" customHeight="1" s="39">
      <c r="A5" s="42" t="inlineStr">
        <is>
          <t>Electricity inputs</t>
        </is>
      </c>
    </row>
    <row r="6" ht="15" customHeight="1" s="39">
      <c r="A6" s="43" t="inlineStr">
        <is>
          <t>Heating electricity (HP-1 + HP-2, winter)</t>
        </is>
      </c>
      <c r="B6" s="56" t="n">
        <v>5500</v>
      </c>
      <c r="C6" s="43" t="inlineStr">
        <is>
          <t>MWh/yr</t>
        </is>
      </c>
      <c r="D6" s="41" t="inlineStr">
        <is>
          <t>See design doc §4</t>
        </is>
      </c>
    </row>
    <row r="7" ht="15" customHeight="1" s="39">
      <c r="A7" s="43" t="inlineStr">
        <is>
          <t>Cooling electricity (EC + auxiliaries)</t>
        </is>
      </c>
      <c r="B7" s="56" t="n">
        <v>1000</v>
      </c>
      <c r="C7" s="43" t="inlineStr">
        <is>
          <t>MWh/yr</t>
        </is>
      </c>
      <c r="D7" s="41" t="inlineStr">
        <is>
          <t>Summer chiller + pumps</t>
        </is>
      </c>
    </row>
    <row r="8" ht="15" customHeight="1" s="39">
      <c r="A8" s="43" t="inlineStr">
        <is>
          <t>Doublet pump + district circulation</t>
        </is>
      </c>
      <c r="B8" s="56" t="n">
        <v>2250</v>
      </c>
      <c r="C8" s="43" t="inlineStr">
        <is>
          <t>MWh/yr</t>
        </is>
      </c>
      <c r="D8" s="41" t="inlineStr">
        <is>
          <t>Year-round</t>
        </is>
      </c>
    </row>
    <row r="9" ht="15" customHeight="1" s="39">
      <c r="A9" s="48" t="inlineStr">
        <is>
          <t>Total electricity</t>
        </is>
      </c>
      <c r="B9" s="57">
        <f>SUM(B6:B8)</f>
        <v/>
      </c>
      <c r="C9" s="43" t="inlineStr">
        <is>
          <t>MWh/yr</t>
        </is>
      </c>
    </row>
    <row r="11" ht="15" customHeight="1" s="39">
      <c r="A11" s="43" t="inlineStr">
        <is>
          <t>NL industrial electricity price</t>
        </is>
      </c>
      <c r="B11" s="58" t="n">
        <v>100</v>
      </c>
      <c r="C11" s="43" t="inlineStr">
        <is>
          <t>€/MWh</t>
        </is>
      </c>
      <c r="D11" s="41" t="inlineStr">
        <is>
          <t>NL 2024 industrial avg incl. taxes</t>
        </is>
      </c>
    </row>
    <row r="12" ht="15" customHeight="1" s="39">
      <c r="A12" s="48" t="inlineStr">
        <is>
          <t>Electricity annual cost</t>
        </is>
      </c>
      <c r="B12" s="59">
        <f>B9*B11/1000</f>
        <v/>
      </c>
      <c r="C12" s="43" t="inlineStr">
        <is>
          <t>€k/yr</t>
        </is>
      </c>
    </row>
    <row r="14" ht="15" customHeight="1" s="39">
      <c r="A14" s="42" t="inlineStr">
        <is>
          <t>Other operating costs</t>
        </is>
      </c>
    </row>
    <row r="15" ht="15" customHeight="1" s="39">
      <c r="A15" s="43" t="inlineStr">
        <is>
          <t>Maintenance (% of CapEx)</t>
        </is>
      </c>
      <c r="B15" s="45" t="n">
        <v>0.025</v>
      </c>
      <c r="D15" s="41" t="inlineStr">
        <is>
          <t>NL geothermal benchmark 2-3%</t>
        </is>
      </c>
    </row>
    <row r="16" ht="15" customHeight="1" s="39">
      <c r="A16" s="43" t="inlineStr">
        <is>
          <t>Maintenance cost</t>
        </is>
      </c>
      <c r="B16" s="60">
        <f>B15*'2. CapEx'!B25*1000</f>
        <v/>
      </c>
      <c r="C16" s="43" t="inlineStr">
        <is>
          <t>€k/yr</t>
        </is>
      </c>
    </row>
    <row r="17" ht="15" customHeight="1" s="39">
      <c r="A17" s="43" t="inlineStr">
        <is>
          <t>Labour + monitoring + insurance</t>
        </is>
      </c>
      <c r="B17" s="56" t="n">
        <v>250</v>
      </c>
      <c r="C17" s="43" t="inlineStr">
        <is>
          <t>€k/yr</t>
        </is>
      </c>
      <c r="D17" s="41" t="inlineStr">
        <is>
          <t>2 FTE + supervisory + insurance</t>
        </is>
      </c>
    </row>
    <row r="18" ht="15" customHeight="1" s="39">
      <c r="A18" s="43" t="inlineStr">
        <is>
          <t>Reservoir monitoring (chemistry, pressure)</t>
        </is>
      </c>
      <c r="B18" s="56" t="n">
        <v>100</v>
      </c>
      <c r="C18" s="43" t="inlineStr">
        <is>
          <t>€k/yr</t>
        </is>
      </c>
      <c r="D18" s="41" t="inlineStr">
        <is>
          <t>EBN regulatory requirement</t>
        </is>
      </c>
    </row>
    <row r="20" ht="15" customHeight="1" s="39">
      <c r="A20" s="42" t="inlineStr">
        <is>
          <t>Total annual OpEx</t>
        </is>
      </c>
    </row>
    <row r="21" ht="15" customHeight="1" s="39">
      <c r="A21" s="48" t="inlineStr">
        <is>
          <t>Total OpEx</t>
        </is>
      </c>
      <c r="B21" s="59">
        <f>B12+B16+B17+B18</f>
        <v/>
      </c>
      <c r="C21" s="43" t="inlineStr">
        <is>
          <t>€k/yr</t>
        </is>
      </c>
    </row>
  </sheetData>
  <mergeCells count="4">
    <mergeCell ref="A1:D1"/>
    <mergeCell ref="A5:D5"/>
    <mergeCell ref="A20:D20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" min="1" max="1"/>
    <col width="14" customWidth="1" style="38" min="2" max="2"/>
    <col width="12" customWidth="1" style="38" min="3" max="3"/>
    <col width="35" customWidth="1" style="38" min="4" max="4"/>
  </cols>
  <sheetData>
    <row r="1" ht="17.25" customHeight="1" s="39">
      <c r="A1" s="40" t="inlineStr">
        <is>
          <t>Annual energy delivered</t>
        </is>
      </c>
    </row>
    <row r="3" ht="15" customHeight="1" s="39">
      <c r="A3" s="51" t="inlineStr">
        <is>
          <t>Item</t>
        </is>
      </c>
      <c r="B3" s="51" t="inlineStr">
        <is>
          <t>Value</t>
        </is>
      </c>
      <c r="C3" s="51" t="inlineStr">
        <is>
          <t>Unit</t>
        </is>
      </c>
      <c r="D3" s="51" t="inlineStr">
        <is>
          <t>Calculation</t>
        </is>
      </c>
    </row>
    <row r="5" ht="15" customHeight="1" s="39">
      <c r="A5" s="43" t="inlineStr">
        <is>
          <t>Heating delivered</t>
        </is>
      </c>
      <c r="B5" s="61">
        <f>'1. Assumptions'!B5*'1. Assumptions'!B7</f>
        <v/>
      </c>
      <c r="C5" s="43" t="inlineStr">
        <is>
          <t>MWh/yr</t>
        </is>
      </c>
      <c r="D5" s="41" t="inlineStr">
        <is>
          <t>peak heating × FLEH heating</t>
        </is>
      </c>
    </row>
    <row r="6" ht="15" customHeight="1" s="39">
      <c r="A6" s="43" t="inlineStr">
        <is>
          <t>Cooling delivered</t>
        </is>
      </c>
      <c r="B6" s="61">
        <f>'1. Assumptions'!B6*'1. Assumptions'!B8</f>
        <v/>
      </c>
      <c r="C6" s="43" t="inlineStr">
        <is>
          <t>MWh/yr</t>
        </is>
      </c>
      <c r="D6" s="41" t="inlineStr">
        <is>
          <t>peak cooling × FLEH cooling</t>
        </is>
      </c>
    </row>
    <row r="7" ht="15" customHeight="1" s="39">
      <c r="A7" s="48" t="inlineStr">
        <is>
          <t>Total useful energy</t>
        </is>
      </c>
      <c r="B7" s="57">
        <f>B5+B6</f>
        <v/>
      </c>
      <c r="C7" s="43" t="inlineStr">
        <is>
          <t>MWh/yr</t>
        </is>
      </c>
    </row>
    <row r="9" ht="15" customHeight="1" s="39">
      <c r="A9" s="43" t="inlineStr">
        <is>
          <t>Total electricity consumed</t>
        </is>
      </c>
      <c r="B9" s="61">
        <f>'3. OpEx'!B9</f>
        <v/>
      </c>
      <c r="C9" s="43" t="inlineStr">
        <is>
          <t>MWh/yr</t>
        </is>
      </c>
    </row>
    <row r="10" ht="15" customHeight="1" s="39">
      <c r="A10" s="43" t="inlineStr">
        <is>
          <t>System SPF (seasonal performance factor)</t>
        </is>
      </c>
      <c r="B10" s="47">
        <f>B7/B9</f>
        <v/>
      </c>
      <c r="C10" s="43" t="inlineStr">
        <is>
          <t>–</t>
        </is>
      </c>
      <c r="D10" s="41" t="inlineStr">
        <is>
          <t>Useful energy / electricity in</t>
        </is>
      </c>
    </row>
    <row r="12" ht="15" customHeight="1" s="39">
      <c r="A12" s="42" t="inlineStr">
        <is>
          <t>CO₂ avoided</t>
        </is>
      </c>
    </row>
    <row r="13" ht="15" customHeight="1" s="39">
      <c r="A13" s="43" t="inlineStr">
        <is>
          <t>Gas emission factor displaced</t>
        </is>
      </c>
      <c r="B13" s="44" t="n">
        <v>0.2</v>
      </c>
      <c r="C13" s="43" t="inlineStr">
        <is>
          <t>tCO₂/MWh</t>
        </is>
      </c>
    </row>
    <row r="14" ht="15" customHeight="1" s="39">
      <c r="A14" s="43" t="inlineStr">
        <is>
          <t>NL grid electricity emission factor</t>
        </is>
      </c>
      <c r="B14" s="44" t="n">
        <v>0.25</v>
      </c>
      <c r="C14" s="43" t="inlineStr">
        <is>
          <t>tCO₂/MWh</t>
        </is>
      </c>
      <c r="D14" s="41" t="inlineStr">
        <is>
          <t>2026 NL grid average</t>
        </is>
      </c>
    </row>
    <row r="15" ht="15" customHeight="1" s="39">
      <c r="A15" s="43" t="inlineStr">
        <is>
          <t>Gross CO₂ displaced (no gas burned)</t>
        </is>
      </c>
      <c r="B15" s="61">
        <f>B5*B13</f>
        <v/>
      </c>
      <c r="C15" s="43" t="inlineStr">
        <is>
          <t>tCO₂/yr</t>
        </is>
      </c>
    </row>
    <row r="16" ht="15" customHeight="1" s="39">
      <c r="A16" s="43" t="inlineStr">
        <is>
          <t>CO₂ from electricity used</t>
        </is>
      </c>
      <c r="B16" s="61">
        <f>B9*B14</f>
        <v/>
      </c>
      <c r="C16" s="43" t="inlineStr">
        <is>
          <t>tCO₂/yr</t>
        </is>
      </c>
    </row>
    <row r="17" ht="15" customHeight="1" s="39">
      <c r="A17" s="48" t="inlineStr">
        <is>
          <t>Net CO₂ avoided</t>
        </is>
      </c>
      <c r="B17" s="57">
        <f>B15-B16</f>
        <v/>
      </c>
      <c r="C17" s="43" t="inlineStr">
        <is>
          <t>tCO₂/yr</t>
        </is>
      </c>
    </row>
  </sheetData>
  <mergeCells count="2">
    <mergeCell ref="A1:D1"/>
    <mergeCell ref="A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8" min="1" max="1"/>
    <col width="14" customWidth="1" style="38" min="2" max="2"/>
    <col width="12" customWidth="1" style="38" min="3" max="3"/>
    <col width="28" customWidth="1" style="38" min="4" max="4"/>
  </cols>
  <sheetData>
    <row r="1" ht="17.25" customHeight="1" s="39">
      <c r="A1" s="40" t="inlineStr">
        <is>
          <t>Levelized Cost of Energy (LCoE)</t>
        </is>
      </c>
    </row>
    <row r="2" ht="15" customHeight="1" s="39">
      <c r="A2" s="41" t="inlineStr">
        <is>
          <t>LCoE = (CapEx × CRF + OpEx) / annual energy delivered</t>
        </is>
      </c>
    </row>
    <row r="4" ht="15" customHeight="1" s="39">
      <c r="A4" s="51" t="inlineStr">
        <is>
          <t>Component</t>
        </is>
      </c>
      <c r="B4" s="51" t="inlineStr">
        <is>
          <t>Value</t>
        </is>
      </c>
      <c r="C4" s="51" t="inlineStr">
        <is>
          <t>Unit</t>
        </is>
      </c>
    </row>
    <row r="6" ht="15" customHeight="1" s="39">
      <c r="A6" s="43" t="inlineStr">
        <is>
          <t>Discount rate (r)</t>
        </is>
      </c>
      <c r="B6" s="62">
        <f>'1. Assumptions'!B10</f>
        <v/>
      </c>
      <c r="C6" s="43" t="inlineStr">
        <is>
          <t>–</t>
        </is>
      </c>
    </row>
    <row r="7" ht="15" customHeight="1" s="39">
      <c r="A7" s="43" t="inlineStr">
        <is>
          <t>Lifetime (n)</t>
        </is>
      </c>
      <c r="B7" s="63">
        <f>'1. Assumptions'!B9</f>
        <v/>
      </c>
      <c r="C7" s="43" t="inlineStr">
        <is>
          <t>years</t>
        </is>
      </c>
    </row>
    <row r="8" ht="15" customHeight="1" s="39">
      <c r="A8" s="43" t="inlineStr">
        <is>
          <t>Capital recovery factor (CRF)</t>
        </is>
      </c>
      <c r="B8" s="64">
        <f>B6/(1-(1+B6)^-B7)</f>
        <v/>
      </c>
      <c r="C8" s="43" t="inlineStr">
        <is>
          <t>–</t>
        </is>
      </c>
    </row>
    <row r="10" ht="15" customHeight="1" s="39">
      <c r="A10" s="43" t="inlineStr">
        <is>
          <t>Total CapEx</t>
        </is>
      </c>
      <c r="B10" s="65">
        <f>'2. CapEx'!B25</f>
        <v/>
      </c>
      <c r="C10" s="43" t="inlineStr">
        <is>
          <t>€M</t>
        </is>
      </c>
    </row>
    <row r="11" ht="15" customHeight="1" s="39">
      <c r="A11" s="43" t="inlineStr">
        <is>
          <t>Annualized CapEx (CapEx × CRF)</t>
        </is>
      </c>
      <c r="B11" s="66">
        <f>B10*B8</f>
        <v/>
      </c>
      <c r="C11" s="43" t="inlineStr">
        <is>
          <t>€M/yr</t>
        </is>
      </c>
    </row>
    <row r="12" ht="15" customHeight="1" s="39">
      <c r="A12" s="43" t="inlineStr">
        <is>
          <t>Annual OpEx</t>
        </is>
      </c>
      <c r="B12" s="66">
        <f>'3. OpEx'!B21/1000</f>
        <v/>
      </c>
      <c r="C12" s="43" t="inlineStr">
        <is>
          <t>€M/yr</t>
        </is>
      </c>
    </row>
    <row r="13" ht="15" customHeight="1" s="39">
      <c r="A13" s="48" t="inlineStr">
        <is>
          <t>Total annual cost</t>
        </is>
      </c>
      <c r="B13" s="67">
        <f>B11+B12</f>
        <v/>
      </c>
      <c r="C13" s="43" t="inlineStr">
        <is>
          <t>€M/yr</t>
        </is>
      </c>
    </row>
    <row r="15" ht="15" customHeight="1" s="39">
      <c r="A15" s="43" t="inlineStr">
        <is>
          <t>Annual energy delivered</t>
        </is>
      </c>
      <c r="B15" s="61">
        <f>'4. Energy delivered'!B7</f>
        <v/>
      </c>
      <c r="C15" s="43" t="inlineStr">
        <is>
          <t>MWh/yr</t>
        </is>
      </c>
    </row>
    <row r="17" ht="15" customHeight="1" s="39">
      <c r="A17" s="68" t="inlineStr">
        <is>
          <t>LCoE</t>
        </is>
      </c>
      <c r="B17" s="69">
        <f>B13*1000000/B15</f>
        <v/>
      </c>
      <c r="C17" s="70" t="inlineStr">
        <is>
          <t>€/MWh</t>
        </is>
      </c>
    </row>
    <row r="18" ht="15" customHeight="1" s="39">
      <c r="A18" s="43" t="inlineStr">
        <is>
          <t>LCoE in €/kWh</t>
        </is>
      </c>
      <c r="B18" s="71">
        <f>B17/1000</f>
        <v/>
      </c>
      <c r="C18" s="43" t="inlineStr">
        <is>
          <t>€/kWh</t>
        </is>
      </c>
    </row>
    <row r="20" ht="15" customHeight="1" s="39">
      <c r="A20" s="42" t="inlineStr">
        <is>
          <t>Benchmarks (NL onshore geothermal direct use)</t>
        </is>
      </c>
    </row>
    <row r="21" ht="15" customHeight="1" s="39">
      <c r="A21" s="41" t="inlineStr">
        <is>
          <t>EBN/TNO 2020-2024 reported LCoE for NL geothermal: €60-€120/MWh (heat only).</t>
        </is>
      </c>
    </row>
    <row r="22" ht="15" customHeight="1" s="39">
      <c r="A22" s="41" t="inlineStr">
        <is>
          <t>Hybrid systems with heat pumps + cooling typically €80-€140/MWh due to higher CapEx but additional revenue stream.</t>
        </is>
      </c>
    </row>
  </sheetData>
  <mergeCells count="5">
    <mergeCell ref="A1:D1"/>
    <mergeCell ref="A22:D22"/>
    <mergeCell ref="A20:D20"/>
    <mergeCell ref="A21:D2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8" min="1" max="1"/>
    <col width="14" customWidth="1" style="38" min="2" max="6"/>
  </cols>
  <sheetData>
    <row r="1" ht="17.25" customHeight="1" s="39">
      <c r="A1" s="40" t="inlineStr">
        <is>
          <t>Sensitivity analysis — LCoE swing per ±20% input change</t>
        </is>
      </c>
    </row>
    <row r="2" ht="15" customHeight="1" s="39">
      <c r="A2" s="41" t="inlineStr">
        <is>
          <t>Computed from the shared LCoE model (03_analysis/scripts/lcoe_model.py) — the same model used by the sensitivity tornado notebook and the Monte Carlo. One input is changed at a time from the Assumptions base case (base LCoE ≈ €122/MWh).</t>
        </is>
      </c>
    </row>
    <row r="4" ht="15" customHeight="1" s="39">
      <c r="A4" s="51" t="inlineStr">
        <is>
          <t>Input</t>
        </is>
      </c>
      <c r="B4" s="51" t="inlineStr">
        <is>
          <t>Base value</t>
        </is>
      </c>
      <c r="C4" s="51" t="inlineStr">
        <is>
          <t>Low (-20%)</t>
        </is>
      </c>
      <c r="D4" s="51" t="inlineStr">
        <is>
          <t>High (+20%)</t>
        </is>
      </c>
      <c r="E4" s="51" t="inlineStr">
        <is>
          <t>ΔLCoE (low)</t>
        </is>
      </c>
      <c r="F4" s="51" t="inlineStr">
        <is>
          <t>ΔLCoE (high)</t>
        </is>
      </c>
    </row>
    <row r="5" ht="15" customHeight="1" s="39">
      <c r="A5" s="43" t="inlineStr">
        <is>
          <t>Drilling cost (€M/well)</t>
        </is>
      </c>
      <c r="B5" s="72" t="n">
        <v>5</v>
      </c>
      <c r="C5" s="46" t="n">
        <v>4</v>
      </c>
      <c r="D5" s="46" t="n">
        <v>6</v>
      </c>
      <c r="E5" s="73" t="inlineStr">
        <is>
          <t>-€4.0/MWh</t>
        </is>
      </c>
      <c r="F5" s="74" t="inlineStr">
        <is>
          <t>+€4.0/MWh</t>
        </is>
      </c>
    </row>
    <row r="6" ht="15" customHeight="1" s="39">
      <c r="A6" s="43" t="inlineStr">
        <is>
          <t>NL electricity price (€/MWh)</t>
        </is>
      </c>
      <c r="B6" s="72" t="n">
        <v>100</v>
      </c>
      <c r="C6" s="46" t="n">
        <v>80</v>
      </c>
      <c r="D6" s="46" t="n">
        <v>120</v>
      </c>
      <c r="E6" s="73" t="inlineStr">
        <is>
          <t>-€5.6/MWh</t>
        </is>
      </c>
      <c r="F6" s="74" t="inlineStr">
        <is>
          <t>+€5.6/MWh</t>
        </is>
      </c>
    </row>
    <row r="7" ht="15" customHeight="1" s="39">
      <c r="A7" s="43" t="inlineStr">
        <is>
          <t>Discount rate</t>
        </is>
      </c>
      <c r="B7" s="72" t="n">
        <v>0.07000000000000001</v>
      </c>
      <c r="C7" s="46" t="n">
        <v>0.056</v>
      </c>
      <c r="D7" s="46" t="n">
        <v>0.08400000000000001</v>
      </c>
      <c r="E7" s="73" t="inlineStr">
        <is>
          <t>-€7.9/MWh</t>
        </is>
      </c>
      <c r="F7" s="74" t="inlineStr">
        <is>
          <t>+€8.3/MWh</t>
        </is>
      </c>
    </row>
    <row r="8" ht="15" customHeight="1" s="39">
      <c r="A8" s="43" t="inlineStr">
        <is>
          <t>Heating FLEH (hr/yr)</t>
        </is>
      </c>
      <c r="B8" s="72" t="n">
        <v>2400</v>
      </c>
      <c r="C8" s="46" t="n">
        <v>1920</v>
      </c>
      <c r="D8" s="46" t="n">
        <v>2880</v>
      </c>
      <c r="E8" s="74" t="inlineStr">
        <is>
          <t>+€19.6/MWh</t>
        </is>
      </c>
      <c r="F8" s="73" t="inlineStr">
        <is>
          <t>-€14.4/MWh</t>
        </is>
      </c>
    </row>
    <row r="9" ht="15" customHeight="1" s="39">
      <c r="A9" s="43" t="inlineStr">
        <is>
          <t>HP-1 COP</t>
        </is>
      </c>
      <c r="B9" s="72" t="n">
        <v>3.5</v>
      </c>
      <c r="C9" s="46" t="n">
        <v>2.8</v>
      </c>
      <c r="D9" s="46" t="n">
        <v>4.2</v>
      </c>
      <c r="E9" s="74" t="inlineStr">
        <is>
          <t>+€1.9/MWh</t>
        </is>
      </c>
      <c r="F9" s="73" t="inlineStr">
        <is>
          <t>-€1.2/MWh</t>
        </is>
      </c>
    </row>
    <row r="10" ht="15" customHeight="1" s="39">
      <c r="A10" s="43" t="inlineStr">
        <is>
          <t>Project lifetime (years)</t>
        </is>
      </c>
      <c r="B10" s="72" t="n">
        <v>25</v>
      </c>
      <c r="C10" s="46" t="n">
        <v>20</v>
      </c>
      <c r="D10" s="46" t="n">
        <v>30</v>
      </c>
      <c r="E10" s="74" t="inlineStr">
        <is>
          <t>+€6.5/MWh</t>
        </is>
      </c>
      <c r="F10" s="73" t="inlineStr">
        <is>
          <t>-€3.9/MWh</t>
        </is>
      </c>
    </row>
    <row r="11" ht="15" customHeight="1" s="39">
      <c r="A11" s="43" t="inlineStr">
        <is>
          <t>USP-01 production (% of P50)</t>
        </is>
      </c>
      <c r="B11" s="72" t="n">
        <v>1</v>
      </c>
      <c r="C11" s="46" t="n">
        <v>0.8</v>
      </c>
      <c r="D11" s="46" t="n">
        <v>1.2</v>
      </c>
      <c r="E11" s="74" t="inlineStr">
        <is>
          <t>+€2.4/MWh</t>
        </is>
      </c>
      <c r="F11" s="73" t="inlineStr">
        <is>
          <t>-€0.5/MWh</t>
        </is>
      </c>
    </row>
    <row r="14" ht="15" customHeight="1" s="39">
      <c r="A14" s="41" t="inlineStr">
        <is>
          <t>Biggest sensitivity by far is heating utilisation (FLEH), then the financing-side levers (discount rate, project lifetime). Doublet flow rate and HP-1 COP are minor LCoE levers within ±20% because the heat pumps efficiently absorb a geothermal shortfall while pumping electricity falls; the material USP-01 risk is the discontinuous case (missing peak demand / needing a second doublet), not a ±20% LCoE gradient.</t>
        </is>
      </c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2026-06-01T21:12:13Z</dcterms:created>
  <dcterms:modified xmlns:dcterms="http://purl.org/dc/terms/" xmlns:xsi="http://www.w3.org/2001/XMLSchema-instance" xsi:type="dcterms:W3CDTF">2026-07-23T20:38:34Z</dcterms:modified>
  <cp:revision>0</cp:revision>
</cp:coreProperties>
</file>