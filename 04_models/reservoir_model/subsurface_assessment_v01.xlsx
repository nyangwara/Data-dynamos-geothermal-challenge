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Exec Summary" sheetId="1" state="visible" r:id="rId1"/>
    <sheet xmlns:r="http://schemas.openxmlformats.org/officeDocument/2006/relationships" name="2. Well Properties" sheetId="2" state="visible" r:id="rId2"/>
    <sheet xmlns:r="http://schemas.openxmlformats.org/officeDocument/2006/relationships" name="3. USP-01 Predictio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—"/>
    <numFmt numFmtId="165" formatCode="0.000"/>
    <numFmt numFmtId="166" formatCode="0.00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C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3" fontId="13" fillId="6" borderId="0" applyAlignment="1" pivotButton="0" quotePrefix="0" xfId="0">
      <alignment horizontal="right" vertical="bottom"/>
    </xf>
    <xf numFmtId="2" fontId="12" fillId="0" borderId="0" applyAlignment="1" pivotButton="0" quotePrefix="0" xfId="0">
      <alignment horizontal="right" vertical="bottom"/>
    </xf>
    <xf numFmtId="164" fontId="12" fillId="0" borderId="0" applyAlignment="1" pivotButton="0" quotePrefix="0" xfId="0">
      <alignment horizontal="right" vertical="bottom"/>
    </xf>
    <xf numFmtId="165" fontId="12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/>
    </xf>
    <xf numFmtId="1" fontId="12" fillId="0" borderId="0" applyAlignment="1" pivotButton="0" quotePrefix="0" xfId="0">
      <alignment horizontal="right" vertical="bottom"/>
    </xf>
    <xf numFmtId="166" fontId="12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1" fontId="14" fillId="4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3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3" fontId="13" fillId="6" borderId="0" applyAlignment="1" pivotButton="0" quotePrefix="0" xfId="0">
      <alignment horizontal="right" vertical="bottom"/>
    </xf>
    <xf numFmtId="2" fontId="12" fillId="0" borderId="0" applyAlignment="1" pivotButton="0" quotePrefix="0" xfId="0">
      <alignment horizontal="right" vertical="bottom"/>
    </xf>
    <xf numFmtId="164" fontId="12" fillId="0" borderId="0" applyAlignment="1" pivotButton="0" quotePrefix="0" xfId="0">
      <alignment horizontal="right" vertical="bottom"/>
    </xf>
    <xf numFmtId="165" fontId="12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/>
    </xf>
    <xf numFmtId="1" fontId="12" fillId="0" borderId="0" applyAlignment="1" pivotButton="0" quotePrefix="0" xfId="0">
      <alignment horizontal="right" vertical="bottom"/>
    </xf>
    <xf numFmtId="166" fontId="12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1" fontId="14" fillId="4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14" customWidth="1" style="30" min="2" max="4"/>
    <col width="11" customWidth="1" style="30" min="5" max="6"/>
    <col width="16" customWidth="1" style="30" min="7" max="7"/>
    <col width="18" customWidth="1" style="30" min="8" max="8"/>
  </cols>
  <sheetData>
    <row r="1" ht="17.35" customHeight="1" s="31">
      <c r="A1" s="32" t="inlineStr">
        <is>
          <t>Subsurface Assessment — Executive Summary</t>
        </is>
      </c>
    </row>
    <row r="3" ht="15" customHeight="1" s="31">
      <c r="A3" s="30" t="inlineStr">
        <is>
          <t>Project</t>
        </is>
      </c>
      <c r="B3" s="30" t="inlineStr">
        <is>
          <t>Rotliegend Slochteren doublet — Utrecht (NL)</t>
        </is>
      </c>
    </row>
    <row r="4" ht="15" customHeight="1" s="31">
      <c r="A4" s="30" t="inlineStr">
        <is>
          <t>Wells evaluated</t>
        </is>
      </c>
      <c r="B4" s="30" t="inlineStr">
        <is>
          <t>BLT-01, EVD-01, JUT-01, PKP-01</t>
        </is>
      </c>
    </row>
    <row r="5" ht="15" customHeight="1" s="31">
      <c r="A5" s="30" t="inlineStr">
        <is>
          <t>USP location (RD New)</t>
        </is>
      </c>
      <c r="B5" s="30" t="inlineStr">
        <is>
          <t>X = 141171, Y = 454890</t>
        </is>
      </c>
    </row>
    <row r="6" ht="15" customHeight="1" s="31">
      <c r="A6" s="30" t="inlineStr">
        <is>
          <t>Proposed new well USP-01</t>
        </is>
      </c>
      <c r="B6" s="30" t="inlineStr">
        <is>
          <t>X = 141278, Y = 455412 (1.5 km from BLT-01, 0.5 km from USP)</t>
        </is>
      </c>
    </row>
    <row r="8" ht="15" customHeight="1" s="31">
      <c r="A8" s="33" t="inlineStr">
        <is>
          <t>Well ranking — Slochteren Formation, P50 case</t>
        </is>
      </c>
    </row>
    <row r="9" ht="26.85" customHeight="1" s="31">
      <c r="A9" s="34" t="inlineStr">
        <is>
          <t>Rank</t>
        </is>
      </c>
      <c r="B9" s="34" t="inlineStr">
        <is>
          <t>Well</t>
        </is>
      </c>
      <c r="C9" s="34" t="inlineStr">
        <is>
          <t>Top TVD (m)</t>
        </is>
      </c>
      <c r="D9" s="34" t="inlineStr">
        <is>
          <t>Thickness (m)</t>
        </is>
      </c>
      <c r="E9" s="34" t="inlineStr">
        <is>
          <t>Temp (°C)</t>
        </is>
      </c>
      <c r="F9" s="34" t="inlineStr">
        <is>
          <t>k×h (Dm)</t>
        </is>
      </c>
      <c r="G9" s="34" t="inlineStr">
        <is>
          <t>Power P50 (MW)</t>
        </is>
      </c>
      <c r="H9" s="34" t="inlineStr">
        <is>
          <t>Distance USP (km)</t>
        </is>
      </c>
    </row>
    <row r="10" ht="15" customHeight="1" s="31">
      <c r="A10" s="35" t="n">
        <v>1</v>
      </c>
      <c r="B10" s="35" t="inlineStr">
        <is>
          <t>BLT-01</t>
        </is>
      </c>
      <c r="C10" s="35" t="n">
        <v>1862</v>
      </c>
      <c r="D10" s="35" t="n">
        <v>122</v>
      </c>
      <c r="E10" s="35" t="n">
        <v>77</v>
      </c>
      <c r="F10" s="35" t="n">
        <v>9.300000000000001</v>
      </c>
      <c r="G10" s="35" t="n">
        <v>5.1</v>
      </c>
      <c r="H10" s="35" t="n">
        <v>2</v>
      </c>
    </row>
    <row r="11" ht="15" customHeight="1" s="31">
      <c r="A11" s="36" t="n">
        <v>2</v>
      </c>
      <c r="B11" s="36" t="inlineStr">
        <is>
          <t>JUT-01</t>
        </is>
      </c>
      <c r="C11" s="36" t="n">
        <v>1655</v>
      </c>
      <c r="D11" s="36" t="n">
        <v>126</v>
      </c>
      <c r="E11" s="36" t="n">
        <v>72</v>
      </c>
      <c r="F11" s="36" t="n">
        <v>4.8</v>
      </c>
      <c r="G11" s="36" t="n">
        <v>2.3</v>
      </c>
      <c r="H11" s="36" t="n">
        <v>7.7</v>
      </c>
    </row>
    <row r="12" ht="15" customHeight="1" s="31">
      <c r="A12" s="36" t="n">
        <v>3</v>
      </c>
      <c r="B12" s="36" t="inlineStr">
        <is>
          <t>EVD-01</t>
        </is>
      </c>
      <c r="C12" s="36" t="n">
        <v>1783</v>
      </c>
      <c r="D12" s="36" t="n">
        <v>77</v>
      </c>
      <c r="E12" s="36" t="n">
        <v>72</v>
      </c>
      <c r="F12" s="36" t="n">
        <v>0.4</v>
      </c>
      <c r="G12" s="36" t="n">
        <v>0</v>
      </c>
      <c r="H12" s="36" t="n">
        <v>14.3</v>
      </c>
    </row>
    <row r="13" ht="15" customHeight="1" s="31">
      <c r="A13" s="36" t="n">
        <v>4</v>
      </c>
      <c r="B13" s="36" t="inlineStr">
        <is>
          <t>PKP-01</t>
        </is>
      </c>
      <c r="C13" s="36" t="n">
        <v>2207</v>
      </c>
      <c r="D13" s="36" t="n">
        <v>64</v>
      </c>
      <c r="E13" s="36" t="n">
        <v>88</v>
      </c>
      <c r="F13" s="36" t="n">
        <v>0.1</v>
      </c>
      <c r="G13" s="36" t="n">
        <v>0</v>
      </c>
      <c r="H13" s="36" t="n">
        <v>22.7</v>
      </c>
    </row>
    <row r="16" ht="15" customHeight="1" s="31">
      <c r="A16" s="33" t="inlineStr">
        <is>
          <t>Recommendation</t>
        </is>
      </c>
    </row>
    <row r="17" ht="15" customHeight="1" s="31">
      <c r="A17" s="37" t="inlineStr">
        <is>
          <t>• BLT-01 is the only well that meets economic deliverability at P50 (5.1 MW thermal, 105 m³/h flow, k×h = 9.3 Dm).</t>
        </is>
      </c>
    </row>
    <row r="18" ht="15" customHeight="1" s="31">
      <c r="A18" s="37" t="inlineStr">
        <is>
          <t>• Drill a doublet centred on BLT-01 location. BLT-01 = producer (proven well). USP-01 = injector (new well, lower-risk role).</t>
        </is>
      </c>
    </row>
    <row r="19" ht="15" customHeight="1" s="31">
      <c r="A19" s="37" t="inlineStr">
        <is>
          <t>• USP-01 proposed at (141278, 455412): 1.5 km from BLT-01 (plug-flow breakthrough ~103 yr, ~34 yr practical after /3 heterogeneity derate — both beyond the 25-yr life) and 0.5 km from USP.</t>
        </is>
      </c>
    </row>
    <row r="20" ht="15" customHeight="1" s="31">
      <c r="A20" s="37" t="inlineStr">
        <is>
          <t>• Predicted USP-01 properties from IDW: top 1830 m TVD, k 75 mD, ϕ 11.4%. Predicted flow 97 m³/h.</t>
        </is>
      </c>
    </row>
    <row r="21" ht="15" customHeight="1" s="31">
      <c r="A21" s="37" t="inlineStr">
        <is>
          <t>• JUT-01 is a viable secondary target (P50 2.3 MWth) but 7.7 km from USP — pipeline economics need review.</t>
        </is>
      </c>
    </row>
    <row r="22" ht="15" customHeight="1" s="31">
      <c r="A22" s="37" t="inlineStr">
        <is>
          <t>• EVD-01 and PKP-01 are uneconomic at P50 (k &lt; 10 mD, near-zero flow rate). De-risking value only.</t>
        </is>
      </c>
    </row>
    <row r="23" ht="15" customHeight="1" s="31">
      <c r="A23" s="37" t="inlineStr">
        <is>
          <t>• CRITICAL FINDING: PKP-01 LAS effective porosity is 1.1%, far below ThermoGIS regional model value of 9%. Tight &amp; shaly here.</t>
        </is>
      </c>
    </row>
  </sheetData>
  <mergeCells count="10">
    <mergeCell ref="A18:H18"/>
    <mergeCell ref="A21:H21"/>
    <mergeCell ref="A20:H20"/>
    <mergeCell ref="A16:H16"/>
    <mergeCell ref="A19:H19"/>
    <mergeCell ref="A1:H1"/>
    <mergeCell ref="A23:H23"/>
    <mergeCell ref="A8:H8"/>
    <mergeCell ref="A22:H22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0" min="1" max="1"/>
    <col width="8" customWidth="1" style="30" min="2" max="2"/>
    <col width="12" customWidth="1" style="30" min="3" max="6"/>
  </cols>
  <sheetData>
    <row r="1" ht="15" customHeight="1" s="31">
      <c r="A1" s="38" t="inlineStr">
        <is>
          <t>Per-well properties — ThermoGIS vs. LAS-derived</t>
        </is>
      </c>
    </row>
    <row r="3" ht="15" customHeight="1" s="31">
      <c r="A3" s="34" t="inlineStr">
        <is>
          <t>Property</t>
        </is>
      </c>
      <c r="B3" s="34" t="inlineStr">
        <is>
          <t>Unit</t>
        </is>
      </c>
      <c r="C3" s="34" t="inlineStr">
        <is>
          <t>BLT-01</t>
        </is>
      </c>
      <c r="D3" s="34" t="inlineStr">
        <is>
          <t>EVD-01</t>
        </is>
      </c>
      <c r="E3" s="34" t="inlineStr">
        <is>
          <t>JUT-01</t>
        </is>
      </c>
      <c r="F3" s="34" t="inlineStr">
        <is>
          <t>PKP-01</t>
        </is>
      </c>
    </row>
    <row r="4" ht="15" customHeight="1" s="31">
      <c r="A4" s="39" t="inlineStr">
        <is>
          <t>Surface X (RD New)</t>
        </is>
      </c>
      <c r="B4" s="40" t="inlineStr">
        <is>
          <t>m</t>
        </is>
      </c>
      <c r="C4" s="41" t="n">
        <v>141577.55</v>
      </c>
      <c r="D4" s="41" t="n">
        <v>136997</v>
      </c>
      <c r="E4" s="41" t="n">
        <v>134098</v>
      </c>
      <c r="F4" s="41" t="n">
        <v>118503.09</v>
      </c>
    </row>
    <row r="5" ht="15" customHeight="1" s="31">
      <c r="A5" s="39" t="inlineStr">
        <is>
          <t>Surface Y (RD New)</t>
        </is>
      </c>
      <c r="B5" s="40" t="inlineStr">
        <is>
          <t>m</t>
        </is>
      </c>
      <c r="C5" s="41" t="n">
        <v>456881.76</v>
      </c>
      <c r="D5" s="41" t="n">
        <v>441189</v>
      </c>
      <c r="E5" s="41" t="n">
        <v>451726</v>
      </c>
      <c r="F5" s="41" t="n">
        <v>453402.51</v>
      </c>
    </row>
    <row r="6" ht="15" customHeight="1" s="31">
      <c r="A6" s="39" t="inlineStr">
        <is>
          <t>Well TD (MD)</t>
        </is>
      </c>
      <c r="B6" s="40" t="inlineStr">
        <is>
          <t>m</t>
        </is>
      </c>
      <c r="C6" s="41" t="n">
        <v>2123</v>
      </c>
      <c r="D6" s="41" t="n">
        <v>2197</v>
      </c>
      <c r="E6" s="41" t="n">
        <v>3409</v>
      </c>
      <c r="F6" s="41" t="n">
        <v>2751</v>
      </c>
    </row>
    <row r="7" ht="15" customHeight="1" s="31">
      <c r="A7" s="39" t="inlineStr">
        <is>
          <t>Max inclination</t>
        </is>
      </c>
      <c r="B7" s="40" t="inlineStr">
        <is>
          <t>°</t>
        </is>
      </c>
      <c r="C7" s="41" t="n">
        <v>19.7</v>
      </c>
      <c r="D7" s="41" t="n">
        <v>16.2</v>
      </c>
      <c r="E7" s="41" t="n">
        <v>25.5</v>
      </c>
      <c r="F7" s="41" t="n">
        <v>37.3</v>
      </c>
    </row>
    <row r="8" ht="15" customHeight="1" s="31">
      <c r="A8" s="39" t="inlineStr">
        <is>
          <t>Slochteren top (TVD)</t>
        </is>
      </c>
      <c r="B8" s="40" t="inlineStr">
        <is>
          <t>m</t>
        </is>
      </c>
      <c r="C8" s="41" t="n">
        <v>1862</v>
      </c>
      <c r="D8" s="41" t="n">
        <v>1783</v>
      </c>
      <c r="E8" s="41" t="n">
        <v>1655</v>
      </c>
      <c r="F8" s="41" t="n">
        <v>2207</v>
      </c>
    </row>
    <row r="9" ht="15" customHeight="1" s="31">
      <c r="A9" s="39" t="inlineStr">
        <is>
          <t>Slochteren base (TVD)</t>
        </is>
      </c>
      <c r="B9" s="40" t="inlineStr">
        <is>
          <t>m</t>
        </is>
      </c>
      <c r="C9" s="41" t="n">
        <v>1985</v>
      </c>
      <c r="D9" s="41" t="n">
        <v>1860</v>
      </c>
      <c r="E9" s="41" t="n">
        <v>1781</v>
      </c>
      <c r="F9" s="41" t="n">
        <v>2272</v>
      </c>
    </row>
    <row r="10" ht="15" customHeight="1" s="31">
      <c r="A10" s="39" t="inlineStr">
        <is>
          <t>Reservoir thickness (TVD)</t>
        </is>
      </c>
      <c r="B10" s="40" t="inlineStr">
        <is>
          <t>m</t>
        </is>
      </c>
      <c r="C10" s="41" t="n">
        <v>122</v>
      </c>
      <c r="D10" s="41" t="n">
        <v>77</v>
      </c>
      <c r="E10" s="41" t="n">
        <v>126</v>
      </c>
      <c r="F10" s="41" t="n">
        <v>64</v>
      </c>
    </row>
    <row r="11" ht="15" customHeight="1" s="31">
      <c r="A11" s="39" t="inlineStr">
        <is>
          <t>Reservoir temperature</t>
        </is>
      </c>
      <c r="B11" s="40" t="inlineStr">
        <is>
          <t>°C</t>
        </is>
      </c>
      <c r="C11" s="41" t="n">
        <v>77</v>
      </c>
      <c r="D11" s="41" t="n">
        <v>72</v>
      </c>
      <c r="E11" s="41" t="n">
        <v>72</v>
      </c>
      <c r="F11" s="41" t="n">
        <v>88</v>
      </c>
    </row>
    <row r="12" ht="15" customHeight="1" s="31">
      <c r="A12" s="39" t="inlineStr">
        <is>
          <t>Permeability P50</t>
        </is>
      </c>
      <c r="B12" s="40" t="inlineStr">
        <is>
          <t>mD</t>
        </is>
      </c>
      <c r="C12" s="41" t="n">
        <v>82</v>
      </c>
      <c r="D12" s="41" t="n">
        <v>6</v>
      </c>
      <c r="E12" s="41" t="n">
        <v>40</v>
      </c>
      <c r="F12" s="41" t="n">
        <v>1</v>
      </c>
    </row>
    <row r="13" ht="15" customHeight="1" s="31">
      <c r="A13" s="39" t="inlineStr">
        <is>
          <t>Porosity (ThermoGIS)</t>
        </is>
      </c>
      <c r="B13" s="40" t="inlineStr">
        <is>
          <t>%</t>
        </is>
      </c>
      <c r="C13" s="41" t="n">
        <v>17</v>
      </c>
      <c r="D13" s="41" t="n">
        <v>9</v>
      </c>
      <c r="E13" s="41" t="n">
        <v>11</v>
      </c>
      <c r="F13" s="41" t="n">
        <v>9</v>
      </c>
    </row>
    <row r="14" ht="15" customHeight="1" s="31">
      <c r="A14" s="42" t="inlineStr">
        <is>
          <t>Porosity (LAS, total)</t>
        </is>
      </c>
      <c r="B14" s="43" t="inlineStr">
        <is>
          <t>%</t>
        </is>
      </c>
      <c r="C14" s="44" t="n">
        <v>14.4</v>
      </c>
      <c r="D14" s="44" t="n">
        <v>8.4</v>
      </c>
      <c r="E14" s="44" t="n">
        <v>11.1</v>
      </c>
      <c r="F14" s="44" t="n">
        <v>5.4</v>
      </c>
    </row>
    <row r="15" ht="15" customHeight="1" s="31">
      <c r="A15" s="42" t="inlineStr">
        <is>
          <t>Effective porosity (LAS, Vsh-corr)</t>
        </is>
      </c>
      <c r="B15" s="43" t="inlineStr">
        <is>
          <t>%</t>
        </is>
      </c>
      <c r="C15" s="44" t="n">
        <v>11.4</v>
      </c>
      <c r="D15" s="44" t="n">
        <v>8</v>
      </c>
      <c r="E15" s="44" t="n">
        <v>10.9</v>
      </c>
      <c r="F15" s="44" t="n">
        <v>1.1</v>
      </c>
    </row>
    <row r="16" ht="15" customHeight="1" s="31">
      <c r="A16" s="39" t="inlineStr">
        <is>
          <t>Net-to-gross (ThermoGIS)</t>
        </is>
      </c>
      <c r="B16" s="40" t="inlineStr">
        <is>
          <t>frac</t>
        </is>
      </c>
      <c r="C16" s="41" t="n">
        <v>0.98</v>
      </c>
      <c r="D16" s="41" t="n">
        <v>0.99</v>
      </c>
      <c r="E16" s="41" t="n">
        <v>0.99</v>
      </c>
      <c r="F16" s="41" t="n">
        <v>0.95</v>
      </c>
    </row>
    <row r="17" ht="15" customHeight="1" s="31">
      <c r="A17" s="42" t="inlineStr">
        <is>
          <t>Net-to-gross (LAS)</t>
        </is>
      </c>
      <c r="B17" s="43" t="inlineStr">
        <is>
          <t>frac</t>
        </is>
      </c>
      <c r="C17" s="44" t="n">
        <v>0.93</v>
      </c>
      <c r="D17" s="44" t="n">
        <v>0.82</v>
      </c>
      <c r="E17" s="44" t="n">
        <v>0.86</v>
      </c>
      <c r="F17" s="44" t="n">
        <v>0.03</v>
      </c>
    </row>
    <row r="18" ht="15" customHeight="1" s="31">
      <c r="A18" s="39" t="inlineStr">
        <is>
          <t>Avg GR (Slochteren)</t>
        </is>
      </c>
      <c r="B18" s="40" t="inlineStr">
        <is>
          <t>gAPI</t>
        </is>
      </c>
      <c r="C18" s="41" t="n">
        <v>49</v>
      </c>
      <c r="D18" s="41" t="n">
        <v>28.5</v>
      </c>
      <c r="E18" s="41" t="n">
        <v>24.3</v>
      </c>
      <c r="F18" s="41" t="n">
        <v>65.09999999999999</v>
      </c>
    </row>
    <row r="19" ht="15" customHeight="1" s="31">
      <c r="A19" s="42" t="inlineStr">
        <is>
          <t>Vshale (LAS, Larionov)</t>
        </is>
      </c>
      <c r="B19" s="43" t="inlineStr">
        <is>
          <t>frac</t>
        </is>
      </c>
      <c r="C19" s="44" t="n">
        <v>0.1</v>
      </c>
      <c r="D19" s="44" t="n">
        <v>0.02</v>
      </c>
      <c r="E19" s="44" t="n">
        <v>0</v>
      </c>
      <c r="F19" s="44" t="n">
        <v>0.19</v>
      </c>
    </row>
    <row r="20" ht="15" customHeight="1" s="31">
      <c r="A20" s="39" t="inlineStr">
        <is>
          <t>Transmissivity (k×h) P50</t>
        </is>
      </c>
      <c r="B20" s="40" t="inlineStr">
        <is>
          <t>Dm</t>
        </is>
      </c>
      <c r="C20" s="41" t="n">
        <v>9.300000000000001</v>
      </c>
      <c r="D20" s="41" t="n">
        <v>0.4</v>
      </c>
      <c r="E20" s="41" t="n">
        <v>4.8</v>
      </c>
      <c r="F20" s="41" t="n">
        <v>0.1</v>
      </c>
    </row>
    <row r="21" ht="15" customHeight="1" s="31">
      <c r="A21" s="39" t="inlineStr">
        <is>
          <t>Flow rate P50</t>
        </is>
      </c>
      <c r="B21" s="40" t="inlineStr">
        <is>
          <t>m³/h</t>
        </is>
      </c>
      <c r="C21" s="41" t="n">
        <v>105</v>
      </c>
      <c r="D21" s="41" t="n">
        <v>0</v>
      </c>
      <c r="E21" s="41" t="n">
        <v>55</v>
      </c>
      <c r="F21" s="41" t="n">
        <v>0</v>
      </c>
    </row>
    <row r="22" ht="15" customHeight="1" s="31">
      <c r="A22" s="39" t="inlineStr">
        <is>
          <t>Thermal power P50</t>
        </is>
      </c>
      <c r="B22" s="40" t="inlineStr">
        <is>
          <t>MWth</t>
        </is>
      </c>
      <c r="C22" s="41" t="n">
        <v>5.1</v>
      </c>
      <c r="D22" s="41" t="n">
        <v>0</v>
      </c>
      <c r="E22" s="41" t="n">
        <v>2.3</v>
      </c>
      <c r="F22" s="41" t="n">
        <v>0</v>
      </c>
    </row>
    <row r="23" ht="15" customHeight="1" s="31">
      <c r="A23" s="39" t="inlineStr">
        <is>
          <t>Distance to USP</t>
        </is>
      </c>
      <c r="B23" s="40" t="inlineStr">
        <is>
          <t>km</t>
        </is>
      </c>
      <c r="C23" s="41" t="n">
        <v>2.03</v>
      </c>
      <c r="D23" s="41" t="n">
        <v>14.32</v>
      </c>
      <c r="E23" s="41" t="n">
        <v>7.75</v>
      </c>
      <c r="F23" s="41" t="n">
        <v>22.72</v>
      </c>
    </row>
    <row r="26" ht="15" customHeight="1" s="31">
      <c r="A26" s="45" t="inlineStr">
        <is>
          <t>Notes:</t>
        </is>
      </c>
    </row>
    <row r="27" ht="15" customHeight="1" s="31">
      <c r="A27" s="46" t="inlineStr">
        <is>
          <t>• Green-shaded rows: LAS-derived. Plain rows: ThermoGIS / well-survey data.</t>
        </is>
      </c>
    </row>
    <row r="28" ht="15" customHeight="1" s="31">
      <c r="A28" s="46" t="inlineStr">
        <is>
          <t>• Slochteren tops verified against lithostratigraphy in TVD (corrected from MD using deviation survey).</t>
        </is>
      </c>
    </row>
    <row r="29" ht="15" customHeight="1" s="31">
      <c r="A29" s="46" t="inlineStr">
        <is>
          <t>• PKP-01 LAS values diverge sharply from ThermoGIS — well is in tight/shaly facies; regional model misleads.</t>
        </is>
      </c>
    </row>
  </sheetData>
  <mergeCells count="4">
    <mergeCell ref="A1:F1"/>
    <mergeCell ref="A28:F28"/>
    <mergeCell ref="A29:F29"/>
    <mergeCell ref="A27:F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0" min="1" max="1"/>
    <col width="16" customWidth="1" style="30" min="2" max="3"/>
    <col width="12" customWidth="1" style="30" min="4" max="4"/>
    <col width="18" customWidth="1" style="30" min="5" max="5"/>
  </cols>
  <sheetData>
    <row r="1" ht="15" customHeight="1" s="31">
      <c r="A1" s="38" t="inlineStr">
        <is>
          <t>Proposed new well USP-01 — IDW prediction from BLT-01 and JUT-01</t>
        </is>
      </c>
    </row>
    <row r="3" ht="26.85" customHeight="1" s="31">
      <c r="A3" s="34" t="inlineStr">
        <is>
          <t>Parameter</t>
        </is>
      </c>
      <c r="B3" s="34" t="inlineStr">
        <is>
          <t>BLT-01 (analog)</t>
        </is>
      </c>
      <c r="C3" s="34" t="inlineStr">
        <is>
          <t>JUT-01 (analog)</t>
        </is>
      </c>
      <c r="D3" s="34" t="inlineStr">
        <is>
          <t>Weight</t>
        </is>
      </c>
      <c r="E3" s="34" t="inlineStr">
        <is>
          <t>USP-01 predicted</t>
        </is>
      </c>
    </row>
    <row r="4" ht="15" customHeight="1" s="31">
      <c r="A4" s="30" t="inlineStr">
        <is>
          <t>Location X (RD New)</t>
        </is>
      </c>
      <c r="B4" s="47" t="n">
        <v>141577.55</v>
      </c>
      <c r="C4" s="47" t="n">
        <v>134098</v>
      </c>
      <c r="D4" s="48" t="inlineStr">
        <is>
          <t>—</t>
        </is>
      </c>
      <c r="E4" s="49" t="n">
        <v>141278</v>
      </c>
    </row>
    <row r="5" ht="15" customHeight="1" s="31">
      <c r="A5" s="30" t="inlineStr">
        <is>
          <t>Location Y (RD New)</t>
        </is>
      </c>
      <c r="B5" s="47" t="n">
        <v>456881.76</v>
      </c>
      <c r="C5" s="47" t="n">
        <v>451726</v>
      </c>
      <c r="D5" s="48" t="inlineStr">
        <is>
          <t>—</t>
        </is>
      </c>
      <c r="E5" s="49" t="n">
        <v>455412</v>
      </c>
    </row>
    <row r="6" ht="15" customHeight="1" s="31">
      <c r="A6" s="30" t="inlineStr">
        <is>
          <t>Distance to USP-01 (km)</t>
        </is>
      </c>
      <c r="B6" s="50" t="n">
        <v>1.5</v>
      </c>
      <c r="C6" s="50" t="n">
        <v>8.07</v>
      </c>
      <c r="D6" s="48" t="inlineStr">
        <is>
          <t>—</t>
        </is>
      </c>
      <c r="E6" s="51" t="n">
        <v>0</v>
      </c>
    </row>
    <row r="7" ht="15" customHeight="1" s="31">
      <c r="A7" s="30" t="inlineStr">
        <is>
          <t>IDW weight (1/d)</t>
        </is>
      </c>
      <c r="B7" s="52" t="n">
        <v>0.843</v>
      </c>
      <c r="C7" s="52" t="n">
        <v>0.157</v>
      </c>
      <c r="D7" s="48" t="inlineStr">
        <is>
          <t>—</t>
        </is>
      </c>
      <c r="E7" s="48" t="inlineStr">
        <is>
          <t>—</t>
        </is>
      </c>
    </row>
    <row r="9" ht="15" customHeight="1" s="31">
      <c r="A9" s="33" t="inlineStr">
        <is>
          <t>Predicted reservoir properties (IDW interpolation)</t>
        </is>
      </c>
    </row>
    <row r="10" ht="15" customHeight="1" s="31">
      <c r="A10" s="39" t="inlineStr">
        <is>
          <t>Slochteren top (TVD)</t>
        </is>
      </c>
      <c r="B10" s="48" t="n">
        <v>1862</v>
      </c>
      <c r="C10" s="48" t="n">
        <v>1655</v>
      </c>
      <c r="D10" s="53" t="inlineStr">
        <is>
          <t>m</t>
        </is>
      </c>
      <c r="E10" s="54" t="n">
        <v>1830</v>
      </c>
    </row>
    <row r="11" ht="15" customHeight="1" s="31">
      <c r="A11" s="39" t="inlineStr">
        <is>
          <t>Thickness (TVD)</t>
        </is>
      </c>
      <c r="B11" s="48" t="n">
        <v>122</v>
      </c>
      <c r="C11" s="48" t="n">
        <v>126</v>
      </c>
      <c r="D11" s="53" t="inlineStr">
        <is>
          <t>m</t>
        </is>
      </c>
      <c r="E11" s="54" t="n">
        <v>123</v>
      </c>
    </row>
    <row r="12" ht="15" customHeight="1" s="31">
      <c r="A12" s="39" t="inlineStr">
        <is>
          <t>Porosity (effective)</t>
        </is>
      </c>
      <c r="B12" s="48" t="n">
        <v>11.4</v>
      </c>
      <c r="C12" s="48" t="n">
        <v>10.9</v>
      </c>
      <c r="D12" s="53" t="inlineStr">
        <is>
          <t>%</t>
        </is>
      </c>
      <c r="E12" s="54" t="n">
        <v>11.4</v>
      </c>
    </row>
    <row r="13" ht="15" customHeight="1" s="31">
      <c r="A13" s="39" t="inlineStr">
        <is>
          <t>Permeability</t>
        </is>
      </c>
      <c r="B13" s="48" t="n">
        <v>82</v>
      </c>
      <c r="C13" s="48" t="n">
        <v>40</v>
      </c>
      <c r="D13" s="53" t="inlineStr">
        <is>
          <t>mD</t>
        </is>
      </c>
      <c r="E13" s="54" t="n">
        <v>75</v>
      </c>
    </row>
    <row r="14" ht="15" customHeight="1" s="31">
      <c r="A14" s="39" t="inlineStr">
        <is>
          <t>Reservoir temperature</t>
        </is>
      </c>
      <c r="B14" s="48" t="n">
        <v>77</v>
      </c>
      <c r="C14" s="48" t="n">
        <v>72</v>
      </c>
      <c r="D14" s="53" t="inlineStr">
        <is>
          <t>°C</t>
        </is>
      </c>
      <c r="E14" s="54" t="n">
        <v>76</v>
      </c>
    </row>
    <row r="15" ht="15" customHeight="1" s="31">
      <c r="A15" s="39" t="inlineStr">
        <is>
          <t>Predicted flow rate (P50)</t>
        </is>
      </c>
      <c r="B15" s="48" t="n">
        <v>105</v>
      </c>
      <c r="C15" s="48" t="n">
        <v>55</v>
      </c>
      <c r="D15" s="53" t="inlineStr">
        <is>
          <t>m³/h</t>
        </is>
      </c>
      <c r="E15" s="54" t="n">
        <v>97</v>
      </c>
    </row>
    <row r="16" ht="15" customHeight="1" s="31">
      <c r="A16" s="39" t="inlineStr">
        <is>
          <t>Predicted power (P50)</t>
        </is>
      </c>
      <c r="B16" s="48" t="n">
        <v>5.1</v>
      </c>
      <c r="C16" s="48" t="n">
        <v>2.3</v>
      </c>
      <c r="D16" s="53" t="inlineStr">
        <is>
          <t>MWth</t>
        </is>
      </c>
      <c r="E16" s="54" t="n">
        <v>4.7</v>
      </c>
    </row>
    <row r="18" ht="15" customHeight="1" s="31">
      <c r="A18" s="33" t="inlineStr">
        <is>
          <t>Why USP-01 is the injector (not the producer)</t>
        </is>
      </c>
    </row>
    <row r="19" ht="15" customHeight="1" s="31">
      <c r="A19" s="37" t="inlineStr">
        <is>
          <t>• USP-01 is the NEW (unproven) well. Using it as injector means underperformance affects injection capacity (recoverable) rather than production capacity (the headline number).</t>
        </is>
      </c>
    </row>
    <row r="20" ht="15" customHeight="1" s="31">
      <c r="A20" s="37" t="inlineStr">
        <is>
          <t>• BLT-01 is the PROVEN well at 5.1 MWth. Using it as producer locks in this baseline output regardless of USP-01 outcomes.</t>
        </is>
      </c>
    </row>
    <row r="21" ht="15" customHeight="1" s="31">
      <c r="A21" s="37" t="inlineStr">
        <is>
          <t>• Surface plant is at the USP (close to USP-01). Hot brine piped 2 km from BLT-01 to plant; cool brine 0.5 km from plant to USP-01.</t>
        </is>
      </c>
    </row>
    <row r="22" ht="15" customHeight="1" s="31">
      <c r="A22" s="37" t="inlineStr">
        <is>
          <t>• Risk mitigation: the side of the system facing the most uncertainty (the new well) takes the less-critical role.</t>
        </is>
      </c>
    </row>
    <row r="24" ht="15" customHeight="1" s="31">
      <c r="A24" s="33" t="inlineStr">
        <is>
          <t>Thermal breakthrough analysis (1.5 km doublet spacing)</t>
        </is>
      </c>
    </row>
    <row r="25" ht="15" customHeight="1" s="31">
      <c r="A25" s="55" t="inlineStr">
        <is>
          <t>Breakthrough: plug-flow pore-volume time, then /3 heterogeneity derate (see doublet_design.md)</t>
        </is>
      </c>
    </row>
    <row r="26" ht="15" customHeight="1" s="31">
      <c r="A26" s="55" t="inlineStr">
        <is>
          <t>φ (porosity)</t>
        </is>
      </c>
      <c r="B26" s="50" t="n">
        <v>0.11</v>
      </c>
    </row>
    <row r="27" ht="15" customHeight="1" s="31">
      <c r="A27" s="55" t="inlineStr">
        <is>
          <t>h (thickness, m)</t>
        </is>
      </c>
      <c r="B27" s="56" t="n">
        <v>122</v>
      </c>
    </row>
    <row r="28" ht="15" customHeight="1" s="31">
      <c r="A28" s="55" t="inlineStr">
        <is>
          <t>r (doublet spacing, m)</t>
        </is>
      </c>
      <c r="B28" s="47" t="n">
        <v>1500</v>
      </c>
    </row>
    <row r="29" ht="15" customHeight="1" s="31">
      <c r="A29" s="55" t="inlineStr">
        <is>
          <t>q (flow rate, m³/s)</t>
        </is>
      </c>
      <c r="B29" s="57">
        <f>105/3600</f>
        <v/>
      </c>
    </row>
    <row r="30" ht="15" customHeight="1" s="31">
      <c r="A30" s="58" t="inlineStr">
        <is>
          <t>tau plug-flow / pore-volume (years)</t>
        </is>
      </c>
      <c r="B30" s="59">
        <f>PI()*B26*B27*B28^2/B29/(86400*365)</f>
        <v/>
      </c>
    </row>
    <row r="31">
      <c r="A31" s="30" t="inlineStr">
        <is>
          <t>tau practical, /3 heterogeneity derate (years)</t>
        </is>
      </c>
      <c r="B31" s="30">
        <f>B30/3</f>
        <v/>
      </c>
    </row>
    <row r="32" ht="15" customHeight="1" s="31">
      <c r="A32" s="46" t="inlineStr">
        <is>
          <t>Plug-flow ~103 yr; practical ~34 yr after /3 heterogeneity derate. Both exceed the 25-yr life. Plug-flow is the hydraulic pore-volume time (thermal breakthrough with matrix retardation is longer); the /3 is a fingering rule of thumb. Confirm with a tracer test / full simulation in detailed engineering.</t>
        </is>
      </c>
    </row>
  </sheetData>
  <mergeCells count="9">
    <mergeCell ref="A21:E21"/>
    <mergeCell ref="A20:E20"/>
    <mergeCell ref="A24:E24"/>
    <mergeCell ref="A19:E19"/>
    <mergeCell ref="A1:E1"/>
    <mergeCell ref="A32:E32"/>
    <mergeCell ref="A22:E22"/>
    <mergeCell ref="A18:E18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2026-06-03T19:29:46Z</dcterms:created>
  <dcterms:modified xmlns:dcterms="http://purl.org/dc/terms/" xmlns:xsi="http://www.w3.org/2001/XMLSchema-instance" xsi:type="dcterms:W3CDTF">2026-07-23T19:45:15Z</dcterms:modified>
  <cp:revision>0</cp:revision>
</cp:coreProperties>
</file>